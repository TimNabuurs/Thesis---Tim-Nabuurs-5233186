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Nab\Documents\Building Technology\Graduation\A3 - final\Dynamic node heat balance model\"/>
    </mc:Choice>
  </mc:AlternateContent>
  <xr:revisionPtr revIDLastSave="0" documentId="13_ncr:1_{02638BA0-6A9B-423F-89B9-5D48681E7585}" xr6:coauthVersionLast="47" xr6:coauthVersionMax="47" xr10:uidLastSave="{00000000-0000-0000-0000-000000000000}"/>
  <bookViews>
    <workbookView xWindow="-108" yWindow="-108" windowWidth="23256" windowHeight="12456" xr2:uid="{E1680BA3-8F8A-431C-AC87-B359BF5604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9" i="1" l="1"/>
  <c r="D39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19" i="1"/>
  <c r="F18" i="1"/>
</calcChain>
</file>

<file path=xl/sharedStrings.xml><?xml version="1.0" encoding="utf-8"?>
<sst xmlns="http://schemas.openxmlformats.org/spreadsheetml/2006/main" count="3" uniqueCount="3">
  <si>
    <t>U</t>
  </si>
  <si>
    <t>dU</t>
  </si>
  <si>
    <t>R_c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</si>
</sst>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Δ</a:t>
            </a:r>
            <a:r>
              <a:rPr lang="en-GB"/>
              <a:t>U-value due to thermal bridges</a:t>
            </a:r>
            <a:endParaRPr lang="nl-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Sheet1!$E$18:$E$39</c:f>
              <c:numCache>
                <c:formatCode>General</c:formatCode>
                <c:ptCount val="22"/>
                <c:pt idx="0">
                  <c:v>0.1</c:v>
                </c:pt>
                <c:pt idx="1">
                  <c:v>0.13</c:v>
                </c:pt>
                <c:pt idx="2">
                  <c:v>0.16900000000000001</c:v>
                </c:pt>
                <c:pt idx="3">
                  <c:v>0.21970000000000003</c:v>
                </c:pt>
                <c:pt idx="4">
                  <c:v>0.28561000000000003</c:v>
                </c:pt>
                <c:pt idx="5">
                  <c:v>0.37129300000000004</c:v>
                </c:pt>
                <c:pt idx="6">
                  <c:v>0.48268090000000008</c:v>
                </c:pt>
                <c:pt idx="7">
                  <c:v>0.62748517000000015</c:v>
                </c:pt>
                <c:pt idx="8">
                  <c:v>0.81573072100000021</c:v>
                </c:pt>
                <c:pt idx="9">
                  <c:v>1.0604499373000003</c:v>
                </c:pt>
                <c:pt idx="10">
                  <c:v>1.3785849184900003</c:v>
                </c:pt>
                <c:pt idx="11">
                  <c:v>1.7921603940370006</c:v>
                </c:pt>
                <c:pt idx="12">
                  <c:v>2.3298085122481007</c:v>
                </c:pt>
                <c:pt idx="13">
                  <c:v>3.0287510659225312</c:v>
                </c:pt>
                <c:pt idx="14">
                  <c:v>3.9373763856992907</c:v>
                </c:pt>
                <c:pt idx="15">
                  <c:v>5.1185893014090782</c:v>
                </c:pt>
                <c:pt idx="16">
                  <c:v>6.6541660918318017</c:v>
                </c:pt>
                <c:pt idx="17">
                  <c:v>8.6504159193813432</c:v>
                </c:pt>
                <c:pt idx="18">
                  <c:v>11.245540695195746</c:v>
                </c:pt>
                <c:pt idx="19">
                  <c:v>14.61920290375447</c:v>
                </c:pt>
                <c:pt idx="20">
                  <c:v>19.00496377488081</c:v>
                </c:pt>
                <c:pt idx="21">
                  <c:v>24.706452907345053</c:v>
                </c:pt>
              </c:numCache>
            </c:numRef>
          </c:xVal>
          <c:yVal>
            <c:numRef>
              <c:f>Sheet1!$F$18:$F$39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3.8562291925346354E-2</c:v>
                </c:pt>
                <c:pt idx="11">
                  <c:v>7.2589416869411283E-2</c:v>
                </c:pt>
                <c:pt idx="12">
                  <c:v>9.9992339903198155E-2</c:v>
                </c:pt>
                <c:pt idx="13">
                  <c:v>0.12184449654012101</c:v>
                </c:pt>
                <c:pt idx="14">
                  <c:v>0.13913389557615696</c:v>
                </c:pt>
                <c:pt idx="15">
                  <c:v>0.15272841475260887</c:v>
                </c:pt>
                <c:pt idx="16">
                  <c:v>0.16336548720594038</c:v>
                </c:pt>
                <c:pt idx="17">
                  <c:v>0.17165666536759699</c:v>
                </c:pt>
                <c:pt idx="18">
                  <c:v>0.17810002989125054</c:v>
                </c:pt>
                <c:pt idx="19">
                  <c:v>0.18309577590983395</c:v>
                </c:pt>
                <c:pt idx="20">
                  <c:v>0.1869621657211421</c:v>
                </c:pt>
                <c:pt idx="21">
                  <c:v>0.18995033572788086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175-4D3D-BC37-B7E8317E5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174064"/>
        <c:axId val="78177904"/>
      </c:scatterChart>
      <c:valAx>
        <c:axId val="78174064"/>
        <c:scaling>
          <c:orientation val="minMax"/>
          <c:max val="10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R</a:t>
                </a:r>
                <a:r>
                  <a:rPr lang="nl-NL" baseline="-25000"/>
                  <a:t>c</a:t>
                </a:r>
                <a:r>
                  <a:rPr lang="nl-NL" baseline="0"/>
                  <a:t> / (m</a:t>
                </a:r>
                <a:r>
                  <a:rPr lang="nl-NL" baseline="30000"/>
                  <a:t>2</a:t>
                </a:r>
                <a:r>
                  <a:rPr lang="nl-NL" baseline="0"/>
                  <a:t>K/W)</a:t>
                </a:r>
                <a:endParaRPr lang="nl-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8177904"/>
        <c:crosses val="autoZero"/>
        <c:crossBetween val="midCat"/>
        <c:majorUnit val="1"/>
      </c:valAx>
      <c:valAx>
        <c:axId val="781779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ΔU / (W/m</a:t>
                </a:r>
                <a:r>
                  <a:rPr lang="nl-NL" baseline="30000"/>
                  <a:t>2</a:t>
                </a:r>
                <a:r>
                  <a:rPr lang="nl-NL"/>
                  <a:t>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8174064"/>
        <c:crosses val="autoZero"/>
        <c:crossBetween val="midCat"/>
        <c:majorUnit val="5.000000000000001E-2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61912</xdr:colOff>
      <xdr:row>15</xdr:row>
      <xdr:rowOff>128587</xdr:rowOff>
    </xdr:from>
    <xdr:to>
      <xdr:col>15</xdr:col>
      <xdr:colOff>495300</xdr:colOff>
      <xdr:row>29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07778A-5804-8225-43FA-6DB19C0F42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65C85-7298-4963-8EC7-C1D15C926DB7}">
  <dimension ref="D16:F39"/>
  <sheetViews>
    <sheetView tabSelected="1" topLeftCell="A19" zoomScale="130" zoomScaleNormal="130" workbookViewId="0">
      <selection activeCell="F35" sqref="F35"/>
    </sheetView>
  </sheetViews>
  <sheetFormatPr defaultRowHeight="14.4" x14ac:dyDescent="0.3"/>
  <sheetData>
    <row r="16" spans="4:6" x14ac:dyDescent="0.3">
      <c r="D16" t="s">
        <v>0</v>
      </c>
      <c r="E16" t="s">
        <v>2</v>
      </c>
      <c r="F16" t="s">
        <v>1</v>
      </c>
    </row>
    <row r="18" spans="4:6" x14ac:dyDescent="0.3">
      <c r="D18">
        <f>1/(E18+0.17)</f>
        <v>3.7037037037037033</v>
      </c>
      <c r="E18">
        <v>0.1</v>
      </c>
      <c r="F18">
        <f>MAX(0,0.1-0.25*(D18-0.4))</f>
        <v>0</v>
      </c>
    </row>
    <row r="19" spans="4:6" x14ac:dyDescent="0.3">
      <c r="D19">
        <f t="shared" ref="D19:D39" si="0">1/(E19+0.17)</f>
        <v>3.333333333333333</v>
      </c>
      <c r="E19">
        <f>E18*1.3</f>
        <v>0.13</v>
      </c>
      <c r="F19">
        <f t="shared" ref="F19:F38" si="1">MAX(0,0.1-0.25*(D19-0.4))</f>
        <v>0</v>
      </c>
    </row>
    <row r="20" spans="4:6" x14ac:dyDescent="0.3">
      <c r="D20">
        <f t="shared" si="0"/>
        <v>2.9498525073746311</v>
      </c>
      <c r="E20">
        <f t="shared" ref="E20:E38" si="2">E19*1.3</f>
        <v>0.16900000000000001</v>
      </c>
      <c r="F20">
        <f t="shared" si="1"/>
        <v>0</v>
      </c>
    </row>
    <row r="21" spans="4:6" x14ac:dyDescent="0.3">
      <c r="D21">
        <f t="shared" si="0"/>
        <v>2.5660764690787783</v>
      </c>
      <c r="E21">
        <f t="shared" si="2"/>
        <v>0.21970000000000003</v>
      </c>
      <c r="F21">
        <f t="shared" si="1"/>
        <v>0</v>
      </c>
    </row>
    <row r="22" spans="4:6" x14ac:dyDescent="0.3">
      <c r="D22">
        <f t="shared" si="0"/>
        <v>2.1948596387261032</v>
      </c>
      <c r="E22">
        <f t="shared" si="2"/>
        <v>0.28561000000000003</v>
      </c>
      <c r="F22">
        <f t="shared" si="1"/>
        <v>0</v>
      </c>
    </row>
    <row r="23" spans="4:6" x14ac:dyDescent="0.3">
      <c r="D23">
        <f t="shared" si="0"/>
        <v>1.8474282874524517</v>
      </c>
      <c r="E23">
        <f t="shared" si="2"/>
        <v>0.37129300000000004</v>
      </c>
      <c r="F23">
        <f t="shared" si="1"/>
        <v>0</v>
      </c>
    </row>
    <row r="24" spans="4:6" x14ac:dyDescent="0.3">
      <c r="D24">
        <f t="shared" si="0"/>
        <v>1.5321422765703727</v>
      </c>
      <c r="E24">
        <f t="shared" si="2"/>
        <v>0.48268090000000008</v>
      </c>
      <c r="F24">
        <f t="shared" si="1"/>
        <v>0</v>
      </c>
    </row>
    <row r="25" spans="4:6" x14ac:dyDescent="0.3">
      <c r="D25">
        <f t="shared" si="0"/>
        <v>1.2539418131123363</v>
      </c>
      <c r="E25">
        <f t="shared" si="2"/>
        <v>0.62748517000000015</v>
      </c>
      <c r="F25">
        <f t="shared" si="1"/>
        <v>0</v>
      </c>
    </row>
    <row r="26" spans="4:6" x14ac:dyDescent="0.3">
      <c r="D26">
        <f t="shared" si="0"/>
        <v>1.014475838782344</v>
      </c>
      <c r="E26">
        <f t="shared" si="2"/>
        <v>0.81573072100000021</v>
      </c>
      <c r="F26">
        <f t="shared" si="1"/>
        <v>0</v>
      </c>
    </row>
    <row r="27" spans="4:6" x14ac:dyDescent="0.3">
      <c r="D27">
        <f t="shared" si="0"/>
        <v>0.81271083827621549</v>
      </c>
      <c r="E27">
        <f t="shared" si="2"/>
        <v>1.0604499373000003</v>
      </c>
      <c r="F27">
        <f t="shared" si="1"/>
        <v>0</v>
      </c>
    </row>
    <row r="28" spans="4:6" x14ac:dyDescent="0.3">
      <c r="D28">
        <f t="shared" si="0"/>
        <v>0.64575083229861463</v>
      </c>
      <c r="E28">
        <f t="shared" si="2"/>
        <v>1.3785849184900003</v>
      </c>
      <c r="F28">
        <f t="shared" si="1"/>
        <v>3.8562291925346354E-2</v>
      </c>
    </row>
    <row r="29" spans="4:6" x14ac:dyDescent="0.3">
      <c r="D29">
        <f t="shared" si="0"/>
        <v>0.50964233252235491</v>
      </c>
      <c r="E29">
        <f t="shared" si="2"/>
        <v>1.7921603940370006</v>
      </c>
      <c r="F29">
        <f t="shared" si="1"/>
        <v>7.2589416869411283E-2</v>
      </c>
    </row>
    <row r="30" spans="4:6" x14ac:dyDescent="0.3">
      <c r="D30">
        <f t="shared" si="0"/>
        <v>0.40003064038720743</v>
      </c>
      <c r="E30">
        <f t="shared" si="2"/>
        <v>2.3298085122481007</v>
      </c>
      <c r="F30">
        <f t="shared" si="1"/>
        <v>9.9992339903198155E-2</v>
      </c>
    </row>
    <row r="31" spans="4:6" x14ac:dyDescent="0.3">
      <c r="D31">
        <f t="shared" si="0"/>
        <v>0.31262201383951599</v>
      </c>
      <c r="E31">
        <f t="shared" si="2"/>
        <v>3.0287510659225312</v>
      </c>
      <c r="F31">
        <f t="shared" si="1"/>
        <v>0.12184449654012101</v>
      </c>
    </row>
    <row r="32" spans="4:6" x14ac:dyDescent="0.3">
      <c r="D32">
        <f t="shared" si="0"/>
        <v>0.24346441769537214</v>
      </c>
      <c r="E32">
        <f t="shared" si="2"/>
        <v>3.9373763856992907</v>
      </c>
      <c r="F32">
        <f t="shared" si="1"/>
        <v>0.13913389557615696</v>
      </c>
    </row>
    <row r="33" spans="4:6" x14ac:dyDescent="0.3">
      <c r="D33">
        <f t="shared" si="0"/>
        <v>0.18908634098956456</v>
      </c>
      <c r="E33">
        <f t="shared" si="2"/>
        <v>5.1185893014090782</v>
      </c>
      <c r="F33">
        <f t="shared" si="1"/>
        <v>0.15272841475260887</v>
      </c>
    </row>
    <row r="34" spans="4:6" x14ac:dyDescent="0.3">
      <c r="D34">
        <f t="shared" si="0"/>
        <v>0.1465380511762385</v>
      </c>
      <c r="E34">
        <f t="shared" si="2"/>
        <v>6.6541660918318017</v>
      </c>
      <c r="F34">
        <f t="shared" si="1"/>
        <v>0.16336548720594038</v>
      </c>
    </row>
    <row r="35" spans="4:6" x14ac:dyDescent="0.3">
      <c r="D35">
        <f t="shared" si="0"/>
        <v>0.11337333852961201</v>
      </c>
      <c r="E35">
        <f t="shared" si="2"/>
        <v>8.6504159193813432</v>
      </c>
      <c r="F35">
        <f t="shared" si="1"/>
        <v>0.17165666536759699</v>
      </c>
    </row>
    <row r="36" spans="4:6" x14ac:dyDescent="0.3">
      <c r="D36">
        <f t="shared" si="0"/>
        <v>8.759988043499789E-2</v>
      </c>
      <c r="E36">
        <f t="shared" si="2"/>
        <v>11.245540695195746</v>
      </c>
      <c r="F36">
        <f t="shared" si="1"/>
        <v>0.17810002989125054</v>
      </c>
    </row>
    <row r="37" spans="4:6" x14ac:dyDescent="0.3">
      <c r="D37">
        <f t="shared" si="0"/>
        <v>6.7616896360664203E-2</v>
      </c>
      <c r="E37">
        <f t="shared" si="2"/>
        <v>14.61920290375447</v>
      </c>
      <c r="F37">
        <f t="shared" si="1"/>
        <v>0.18309577590983395</v>
      </c>
    </row>
    <row r="38" spans="4:6" x14ac:dyDescent="0.3">
      <c r="D38">
        <f t="shared" si="0"/>
        <v>5.2151337115431698E-2</v>
      </c>
      <c r="E38">
        <f t="shared" si="2"/>
        <v>19.00496377488081</v>
      </c>
      <c r="F38">
        <f t="shared" si="1"/>
        <v>0.1869621657211421</v>
      </c>
    </row>
    <row r="39" spans="4:6" x14ac:dyDescent="0.3">
      <c r="D39">
        <f t="shared" si="0"/>
        <v>4.0198657088476579E-2</v>
      </c>
      <c r="E39">
        <f t="shared" ref="E39" si="3">E38*1.3</f>
        <v>24.706452907345053</v>
      </c>
      <c r="F39">
        <f t="shared" ref="F39" si="4">MAX(0,0.1-0.25*(D39-0.4))</f>
        <v>0.18995033572788086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TU Delft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 van der Spoel</dc:creator>
  <cp:lastModifiedBy>Tim Nabuurs</cp:lastModifiedBy>
  <dcterms:created xsi:type="dcterms:W3CDTF">2024-06-28T16:09:41Z</dcterms:created>
  <dcterms:modified xsi:type="dcterms:W3CDTF">2026-04-30T07:00:50Z</dcterms:modified>
</cp:coreProperties>
</file>